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onardOkorie\Downloads\"/>
    </mc:Choice>
  </mc:AlternateContent>
  <xr:revisionPtr revIDLastSave="0" documentId="13_ncr:1_{58738B27-15C4-4A33-89AF-B8CD3356B5FB}" xr6:coauthVersionLast="47" xr6:coauthVersionMax="47" xr10:uidLastSave="{00000000-0000-0000-0000-000000000000}"/>
  <bookViews>
    <workbookView xWindow="28680" yWindow="-120" windowWidth="29040" windowHeight="15720" xr2:uid="{05EC04E0-C0FC-4B45-97D6-B4F81BB1666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R5" i="1"/>
  <c r="R6" i="1"/>
  <c r="R7" i="1"/>
  <c r="R8" i="1"/>
  <c r="R9" i="1"/>
  <c r="R10" i="1"/>
  <c r="R11" i="1"/>
  <c r="R12" i="1"/>
  <c r="R13" i="1"/>
  <c r="R14" i="1"/>
  <c r="R3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B15" i="1"/>
  <c r="R15" i="1" l="1"/>
</calcChain>
</file>

<file path=xl/sharedStrings.xml><?xml version="1.0" encoding="utf-8"?>
<sst xmlns="http://schemas.openxmlformats.org/spreadsheetml/2006/main" count="32" uniqueCount="31">
  <si>
    <t>Projects</t>
  </si>
  <si>
    <t>Names</t>
  </si>
  <si>
    <t>[BD - 2026] Business Development COP</t>
  </si>
  <si>
    <t>[Comms - 2026] CoP - Communication and Events</t>
  </si>
  <si>
    <t>2023-2024 WSH Public Data Systems</t>
  </si>
  <si>
    <t>2024 ANNUAL MONITORING &amp; EVALUATION EXERCISE</t>
  </si>
  <si>
    <t>AI for Agriculture Learning Series</t>
  </si>
  <si>
    <t>CoP - Communication and Events</t>
  </si>
  <si>
    <t>Dev-Afrique Internal Admin 2026</t>
  </si>
  <si>
    <t>External Monitoring and Evaluation Service for The Hunger Project</t>
  </si>
  <si>
    <t>Geospatial Insights Support Team - GIST- KIMBLE 5.0</t>
  </si>
  <si>
    <t>Geospatial Partner Mapping Tool</t>
  </si>
  <si>
    <t>Nigeria Livestock Productivity and Resilience Support (L-PRES)</t>
  </si>
  <si>
    <t>Policy Vault Project</t>
  </si>
  <si>
    <t>Principal Executive- Internal</t>
  </si>
  <si>
    <t>Principal Executive- Internal Naira</t>
  </si>
  <si>
    <t>PV Advisors Project</t>
  </si>
  <si>
    <t>The Umbrella Fund</t>
  </si>
  <si>
    <t>Grand Total</t>
  </si>
  <si>
    <t>Staff 1</t>
  </si>
  <si>
    <t>Staff 4</t>
  </si>
  <si>
    <t>Staff 5</t>
  </si>
  <si>
    <t>Staff 7</t>
  </si>
  <si>
    <t>Staff 9</t>
  </si>
  <si>
    <t>Staff 11</t>
  </si>
  <si>
    <t>Staff  2</t>
  </si>
  <si>
    <t>Staff 14</t>
  </si>
  <si>
    <t>Staff 16</t>
  </si>
  <si>
    <t>Staff 17</t>
  </si>
  <si>
    <t>Staff 20</t>
  </si>
  <si>
    <t>Staff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</si>
</sst>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rial"/>
      <charset val="134"/>
    </font>
    <font>
      <b/>
      <sz val="11"/>
      <name val="Arial"/>
      <family val="2"/>
      <charset val="134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5">
    <xf numFmtId="0" fontId="0" fillId="0" borderId="0" xfId="0"/>
    <xf numFmtId="0" fontId="4" fillId="0" borderId="4" xfId="0" applyFont="1" applyBorder="1"/>
    <xf numFmtId="0" fontId="0" fillId="0" borderId="8" xfId="0" applyBorder="1"/>
    <xf numFmtId="0" fontId="4" fillId="0" borderId="2" xfId="0" applyFont="1" applyBorder="1"/>
    <xf numFmtId="0" fontId="0" fillId="0" borderId="9" xfId="0" applyBorder="1"/>
    <xf numFmtId="0" fontId="0" fillId="0" borderId="3" xfId="0" applyBorder="1"/>
    <xf numFmtId="0" fontId="4" fillId="0" borderId="10" xfId="0" applyFont="1" applyBorder="1"/>
    <xf numFmtId="0" fontId="5" fillId="0" borderId="9" xfId="0" applyFont="1" applyBorder="1"/>
    <xf numFmtId="0" fontId="5" fillId="0" borderId="3" xfId="0" applyFont="1" applyBorder="1"/>
    <xf numFmtId="43" fontId="6" fillId="0" borderId="11" xfId="1" applyFont="1" applyBorder="1" applyAlignment="1"/>
    <xf numFmtId="0" fontId="2" fillId="0" borderId="1" xfId="2" applyAlignment="1"/>
    <xf numFmtId="0" fontId="0" fillId="2" borderId="0" xfId="0" applyFill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3">
    <cellStyle name="Comma" xfId="1" builtinId="3"/>
    <cellStyle name="Normal" xfId="0" builtinId="0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8DFF-E783-40CF-9925-9C977E12518E}">
  <dimension ref="A1:R16"/>
  <sheetViews>
    <sheetView tabSelected="1" workbookViewId="0">
      <selection activeCell="B24" sqref="B24"/>
    </sheetView>
  </sheetViews>
  <sheetFormatPr defaultColWidth="12.109375" defaultRowHeight="14.4"/>
  <cols>
    <col min="1" max="1" width="14.88671875" customWidth="1"/>
    <col min="2" max="2" width="40.33203125" customWidth="1"/>
    <col min="3" max="3" width="30.21875" customWidth="1"/>
    <col min="4" max="4" width="36.5546875" customWidth="1"/>
    <col min="5" max="5" width="32.5546875" customWidth="1"/>
    <col min="6" max="17" width="10" bestFit="1" customWidth="1"/>
    <col min="18" max="18" width="13.6640625" customWidth="1"/>
  </cols>
  <sheetData>
    <row r="1" spans="1:18" ht="15" thickBot="1">
      <c r="A1" s="1"/>
      <c r="B1" s="12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  <c r="R1" s="2"/>
    </row>
    <row r="2" spans="1:18">
      <c r="A2" s="3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8" t="s">
        <v>17</v>
      </c>
      <c r="R2" s="6" t="s">
        <v>18</v>
      </c>
    </row>
    <row r="3" spans="1:18">
      <c r="A3" s="11" t="s">
        <v>19</v>
      </c>
      <c r="B3" s="4">
        <v>7.5</v>
      </c>
      <c r="C3" s="4"/>
      <c r="D3" s="4"/>
      <c r="E3" s="4">
        <v>2.25</v>
      </c>
      <c r="F3" s="4">
        <v>1.5</v>
      </c>
      <c r="G3" s="4"/>
      <c r="H3" s="4">
        <v>98</v>
      </c>
      <c r="I3" s="4"/>
      <c r="J3" s="4">
        <v>3</v>
      </c>
      <c r="K3" s="4">
        <v>1</v>
      </c>
      <c r="L3" s="4">
        <v>0.5</v>
      </c>
      <c r="M3" s="4"/>
      <c r="N3" s="4"/>
      <c r="O3" s="4"/>
      <c r="P3" s="4"/>
      <c r="Q3" s="5">
        <v>0.5</v>
      </c>
      <c r="R3" s="9">
        <f>SUM(B3:Q3)</f>
        <v>114.25</v>
      </c>
    </row>
    <row r="4" spans="1:18">
      <c r="A4" s="11" t="s">
        <v>25</v>
      </c>
      <c r="B4" s="4"/>
      <c r="C4" s="4"/>
      <c r="D4" s="4"/>
      <c r="E4" s="4"/>
      <c r="F4" s="4"/>
      <c r="G4" s="4"/>
      <c r="H4" s="4"/>
      <c r="I4" s="4">
        <v>28.25</v>
      </c>
      <c r="J4" s="4"/>
      <c r="K4" s="4"/>
      <c r="L4" s="4"/>
      <c r="M4" s="4"/>
      <c r="N4" s="4"/>
      <c r="O4" s="4"/>
      <c r="P4" s="4"/>
      <c r="Q4" s="5"/>
      <c r="R4" s="9">
        <f t="shared" ref="R4:R14" si="0">SUM(B4:Q4)</f>
        <v>28.25</v>
      </c>
    </row>
    <row r="5" spans="1:18">
      <c r="A5" s="11" t="s">
        <v>20</v>
      </c>
      <c r="B5" s="4">
        <v>0.5</v>
      </c>
      <c r="C5" s="4"/>
      <c r="D5" s="4">
        <v>28.5</v>
      </c>
      <c r="E5" s="4"/>
      <c r="F5" s="4"/>
      <c r="G5" s="4"/>
      <c r="H5" s="4">
        <v>4.5</v>
      </c>
      <c r="I5" s="4">
        <v>5</v>
      </c>
      <c r="J5" s="4"/>
      <c r="K5" s="4"/>
      <c r="L5" s="4"/>
      <c r="M5" s="4"/>
      <c r="N5" s="4"/>
      <c r="O5" s="4"/>
      <c r="P5" s="4"/>
      <c r="Q5" s="5"/>
      <c r="R5" s="9">
        <f t="shared" si="0"/>
        <v>38.5</v>
      </c>
    </row>
    <row r="6" spans="1:18">
      <c r="A6" s="11" t="s">
        <v>21</v>
      </c>
      <c r="B6" s="4">
        <v>27</v>
      </c>
      <c r="C6" s="4"/>
      <c r="D6" s="4">
        <v>0.5</v>
      </c>
      <c r="E6" s="4"/>
      <c r="F6" s="4"/>
      <c r="G6" s="4"/>
      <c r="H6" s="4">
        <v>7.25</v>
      </c>
      <c r="I6" s="4">
        <v>56</v>
      </c>
      <c r="J6" s="4"/>
      <c r="K6" s="4"/>
      <c r="L6" s="4"/>
      <c r="M6" s="4"/>
      <c r="N6" s="4"/>
      <c r="O6" s="4"/>
      <c r="P6" s="4"/>
      <c r="Q6" s="5">
        <v>57</v>
      </c>
      <c r="R6" s="9">
        <f t="shared" si="0"/>
        <v>147.75</v>
      </c>
    </row>
    <row r="7" spans="1:18">
      <c r="A7" s="11" t="s">
        <v>22</v>
      </c>
      <c r="B7" s="4">
        <v>12.25</v>
      </c>
      <c r="C7" s="4">
        <v>1</v>
      </c>
      <c r="D7" s="4"/>
      <c r="E7" s="4"/>
      <c r="F7" s="4"/>
      <c r="G7" s="4"/>
      <c r="H7" s="4">
        <v>34</v>
      </c>
      <c r="I7" s="4"/>
      <c r="J7" s="4">
        <v>7</v>
      </c>
      <c r="K7" s="4"/>
      <c r="L7" s="4"/>
      <c r="M7" s="4"/>
      <c r="N7" s="4"/>
      <c r="O7" s="4"/>
      <c r="P7" s="4"/>
      <c r="Q7" s="5">
        <v>18.75</v>
      </c>
      <c r="R7" s="9">
        <f t="shared" si="0"/>
        <v>73</v>
      </c>
    </row>
    <row r="8" spans="1:18">
      <c r="A8" t="s">
        <v>23</v>
      </c>
      <c r="B8" s="4">
        <v>20.5</v>
      </c>
      <c r="C8" s="4"/>
      <c r="D8" s="4"/>
      <c r="E8" s="4"/>
      <c r="F8" s="4"/>
      <c r="G8" s="4"/>
      <c r="H8" s="4">
        <v>50.5</v>
      </c>
      <c r="I8" s="4"/>
      <c r="J8" s="4">
        <v>9.25</v>
      </c>
      <c r="K8" s="4"/>
      <c r="L8" s="4"/>
      <c r="M8" s="4"/>
      <c r="N8" s="4"/>
      <c r="O8" s="4"/>
      <c r="P8" s="4"/>
      <c r="Q8" s="5">
        <v>45</v>
      </c>
      <c r="R8" s="9">
        <f t="shared" si="0"/>
        <v>125.25</v>
      </c>
    </row>
    <row r="9" spans="1:18">
      <c r="A9" t="s">
        <v>24</v>
      </c>
      <c r="B9" s="4"/>
      <c r="C9" s="4"/>
      <c r="D9" s="4">
        <v>26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  <c r="R9" s="9">
        <f t="shared" si="0"/>
        <v>26</v>
      </c>
    </row>
    <row r="10" spans="1:18">
      <c r="A10" t="s">
        <v>26</v>
      </c>
      <c r="B10" s="4">
        <v>38.5</v>
      </c>
      <c r="C10" s="4"/>
      <c r="D10" s="4"/>
      <c r="E10" s="4"/>
      <c r="F10" s="4"/>
      <c r="G10" s="4"/>
      <c r="H10" s="4">
        <v>32</v>
      </c>
      <c r="I10" s="4"/>
      <c r="J10" s="4">
        <v>17</v>
      </c>
      <c r="K10" s="4"/>
      <c r="L10" s="4"/>
      <c r="M10" s="4"/>
      <c r="N10" s="4"/>
      <c r="O10" s="4"/>
      <c r="P10" s="4"/>
      <c r="Q10" s="5">
        <v>41.75</v>
      </c>
      <c r="R10" s="9">
        <f t="shared" si="0"/>
        <v>129.25</v>
      </c>
    </row>
    <row r="11" spans="1:18">
      <c r="A11" s="11" t="s">
        <v>27</v>
      </c>
      <c r="B11" s="4">
        <v>60.25</v>
      </c>
      <c r="C11" s="4"/>
      <c r="D11" s="4"/>
      <c r="E11" s="4"/>
      <c r="F11" s="4">
        <v>36.75</v>
      </c>
      <c r="G11" s="4"/>
      <c r="H11" s="4">
        <v>20.75</v>
      </c>
      <c r="I11" s="4"/>
      <c r="J11" s="4"/>
      <c r="K11" s="4"/>
      <c r="L11" s="4"/>
      <c r="M11" s="4"/>
      <c r="N11" s="4"/>
      <c r="O11" s="4"/>
      <c r="P11" s="4"/>
      <c r="Q11" s="5"/>
      <c r="R11" s="9">
        <f t="shared" si="0"/>
        <v>117.75</v>
      </c>
    </row>
    <row r="12" spans="1:18">
      <c r="A12" s="11" t="s">
        <v>28</v>
      </c>
      <c r="B12" s="4">
        <v>51.75</v>
      </c>
      <c r="C12" s="4"/>
      <c r="D12" s="4"/>
      <c r="E12" s="4"/>
      <c r="F12" s="4"/>
      <c r="G12" s="4"/>
      <c r="H12" s="4">
        <v>70.5</v>
      </c>
      <c r="I12" s="4"/>
      <c r="J12" s="4">
        <v>18.5</v>
      </c>
      <c r="K12" s="4"/>
      <c r="L12" s="4">
        <v>34</v>
      </c>
      <c r="M12" s="4"/>
      <c r="N12" s="4"/>
      <c r="O12" s="4"/>
      <c r="P12" s="4"/>
      <c r="Q12" s="5"/>
      <c r="R12" s="9">
        <f t="shared" si="0"/>
        <v>174.75</v>
      </c>
    </row>
    <row r="13" spans="1:18">
      <c r="A13" s="11" t="s">
        <v>29</v>
      </c>
      <c r="B13" s="4">
        <v>28.25</v>
      </c>
      <c r="C13" s="4"/>
      <c r="D13" s="4"/>
      <c r="E13" s="4">
        <v>24.25</v>
      </c>
      <c r="F13" s="4"/>
      <c r="G13" s="4"/>
      <c r="H13" s="4">
        <v>13.75</v>
      </c>
      <c r="I13" s="4"/>
      <c r="J13" s="4"/>
      <c r="K13" s="4"/>
      <c r="L13" s="4"/>
      <c r="M13" s="4"/>
      <c r="N13" s="4"/>
      <c r="O13" s="4"/>
      <c r="P13" s="4"/>
      <c r="Q13" s="5">
        <v>36</v>
      </c>
      <c r="R13" s="9">
        <f t="shared" si="0"/>
        <v>102.25</v>
      </c>
    </row>
    <row r="14" spans="1:18">
      <c r="A14" s="11" t="s">
        <v>30</v>
      </c>
      <c r="B14" s="4">
        <v>9.75</v>
      </c>
      <c r="C14" s="4"/>
      <c r="D14" s="4">
        <v>6.5</v>
      </c>
      <c r="E14" s="4"/>
      <c r="F14" s="4">
        <v>2</v>
      </c>
      <c r="G14" s="4"/>
      <c r="H14" s="4">
        <v>79.5</v>
      </c>
      <c r="I14" s="4"/>
      <c r="J14" s="4">
        <v>13</v>
      </c>
      <c r="K14" s="4">
        <v>0.5</v>
      </c>
      <c r="L14" s="4"/>
      <c r="M14" s="4">
        <v>99</v>
      </c>
      <c r="N14" s="4">
        <v>0.75</v>
      </c>
      <c r="O14" s="4">
        <v>2.25</v>
      </c>
      <c r="P14" s="4">
        <v>1</v>
      </c>
      <c r="Q14" s="5">
        <v>4.5</v>
      </c>
      <c r="R14" s="9">
        <f t="shared" si="0"/>
        <v>218.75</v>
      </c>
    </row>
    <row r="15" spans="1:18" ht="15" thickBot="1">
      <c r="A15" s="10" t="s">
        <v>18</v>
      </c>
      <c r="B15" s="10">
        <f>SUM(B3:B14)</f>
        <v>256.25</v>
      </c>
      <c r="C15" s="10">
        <f t="shared" ref="C15:R15" si="1">SUM(C3:C14)</f>
        <v>1</v>
      </c>
      <c r="D15" s="10">
        <f t="shared" si="1"/>
        <v>61.5</v>
      </c>
      <c r="E15" s="10">
        <f t="shared" si="1"/>
        <v>26.5</v>
      </c>
      <c r="F15" s="10">
        <f t="shared" si="1"/>
        <v>40.25</v>
      </c>
      <c r="G15" s="10">
        <f t="shared" si="1"/>
        <v>0</v>
      </c>
      <c r="H15" s="10">
        <f t="shared" si="1"/>
        <v>410.75</v>
      </c>
      <c r="I15" s="10">
        <f t="shared" si="1"/>
        <v>89.25</v>
      </c>
      <c r="J15" s="10">
        <f t="shared" si="1"/>
        <v>67.75</v>
      </c>
      <c r="K15" s="10">
        <f t="shared" si="1"/>
        <v>1.5</v>
      </c>
      <c r="L15" s="10">
        <f t="shared" si="1"/>
        <v>34.5</v>
      </c>
      <c r="M15" s="10">
        <f t="shared" si="1"/>
        <v>99</v>
      </c>
      <c r="N15" s="10">
        <f t="shared" si="1"/>
        <v>0.75</v>
      </c>
      <c r="O15" s="10">
        <f t="shared" si="1"/>
        <v>2.25</v>
      </c>
      <c r="P15" s="10">
        <f t="shared" si="1"/>
        <v>1</v>
      </c>
      <c r="Q15" s="10">
        <f t="shared" si="1"/>
        <v>203.5</v>
      </c>
      <c r="R15" s="10">
        <f t="shared" si="1"/>
        <v>1295.75</v>
      </c>
    </row>
    <row r="16" spans="1:18" ht="15" thickTop="1"/>
  </sheetData>
  <mergeCells count="1">
    <mergeCell ref="B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 Okorie</dc:creator>
  <cp:keywords/>
  <dc:description/>
  <cp:lastModifiedBy>Leonard Okorie</cp:lastModifiedBy>
  <cp:revision/>
  <cp:lastPrinted>2026-02-23T14:28:14Z</cp:lastPrinted>
  <dcterms:created xsi:type="dcterms:W3CDTF">2026-02-11T15:40:54Z</dcterms:created>
  <dcterms:modified xsi:type="dcterms:W3CDTF">2026-02-23T15:47:32Z</dcterms:modified>
  <cp:category/>
  <cp:contentStatus/>
</cp:coreProperties>
</file>