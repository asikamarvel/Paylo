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onardOkorie\Downloads\"/>
    </mc:Choice>
  </mc:AlternateContent>
  <xr:revisionPtr revIDLastSave="0" documentId="13_ncr:1_{CF3A38E0-4E74-4D45-9ABA-E0B2ACAF1020}" xr6:coauthVersionLast="47" xr6:coauthVersionMax="47" xr10:uidLastSave="{00000000-0000-0000-0000-000000000000}"/>
  <bookViews>
    <workbookView xWindow="-96" yWindow="-96" windowWidth="23232" windowHeight="12432" activeTab="3" xr2:uid="{663B8030-A326-477B-A04D-DA4AA97A2C9D}"/>
  </bookViews>
  <sheets>
    <sheet name="Rate card" sheetId="4" r:id="rId1"/>
    <sheet name="Projects" sheetId="3" r:id="rId2"/>
    <sheet name="Parameters" sheetId="5" r:id="rId3"/>
    <sheet name="Payroll Sheet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6" l="1"/>
  <c r="H6" i="6"/>
  <c r="H7" i="6"/>
  <c r="H8" i="6"/>
  <c r="H9" i="6"/>
  <c r="H15" i="6"/>
  <c r="K15" i="6"/>
  <c r="K11" i="6"/>
  <c r="K12" i="6"/>
  <c r="K13" i="6"/>
  <c r="K14" i="6"/>
  <c r="K16" i="6"/>
  <c r="K10" i="6"/>
  <c r="H11" i="6"/>
  <c r="H12" i="6"/>
  <c r="H13" i="6"/>
  <c r="H14" i="6"/>
  <c r="H16" i="6"/>
  <c r="H10" i="6"/>
  <c r="K6" i="6"/>
  <c r="K7" i="6"/>
  <c r="K8" i="6"/>
  <c r="K9" i="6"/>
  <c r="K5" i="6"/>
  <c r="H5" i="6"/>
  <c r="G5" i="4"/>
  <c r="G6" i="4"/>
  <c r="G7" i="4"/>
  <c r="G8" i="4"/>
  <c r="G9" i="4"/>
  <c r="G10" i="4"/>
  <c r="G4" i="4"/>
  <c r="M15" i="6" l="1"/>
  <c r="N15" i="6" s="1"/>
  <c r="O15" i="6" s="1"/>
  <c r="Q15" i="6" s="1"/>
  <c r="R15" i="6"/>
  <c r="M14" i="6"/>
  <c r="N14" i="6" s="1"/>
  <c r="O14" i="6" s="1"/>
  <c r="Q14" i="6" s="1"/>
  <c r="R14" i="6" s="1"/>
  <c r="M7" i="6"/>
  <c r="N7" i="6" s="1"/>
  <c r="O7" i="6" s="1"/>
  <c r="Q7" i="6" s="1"/>
  <c r="R7" i="6" s="1"/>
  <c r="M5" i="6"/>
  <c r="N5" i="6" s="1"/>
  <c r="O5" i="6" s="1"/>
  <c r="Q5" i="6" s="1"/>
  <c r="R5" i="6" s="1"/>
  <c r="M11" i="6"/>
  <c r="N11" i="6" s="1"/>
  <c r="O11" i="6" s="1"/>
  <c r="Q11" i="6" s="1"/>
  <c r="R11" i="6" s="1"/>
  <c r="M6" i="6"/>
  <c r="N6" i="6" s="1"/>
  <c r="O6" i="6" s="1"/>
  <c r="M9" i="6"/>
  <c r="N9" i="6" s="1"/>
  <c r="O9" i="6" s="1"/>
  <c r="Q9" i="6" s="1"/>
  <c r="R9" i="6" s="1"/>
  <c r="M10" i="6"/>
  <c r="N10" i="6" s="1"/>
  <c r="O10" i="6" s="1"/>
  <c r="M16" i="6"/>
  <c r="N16" i="6" s="1"/>
  <c r="O16" i="6" s="1"/>
  <c r="Q16" i="6" s="1"/>
  <c r="R16" i="6" s="1"/>
  <c r="M13" i="6"/>
  <c r="N13" i="6" s="1"/>
  <c r="O13" i="6" s="1"/>
  <c r="Q13" i="6" s="1"/>
  <c r="R13" i="6" s="1"/>
  <c r="M12" i="6"/>
  <c r="N12" i="6" s="1"/>
  <c r="O12" i="6" s="1"/>
  <c r="Q12" i="6" s="1"/>
  <c r="R12" i="6" s="1"/>
  <c r="M8" i="6"/>
  <c r="N8" i="6" s="1"/>
  <c r="Q10" i="6" l="1"/>
  <c r="O8" i="6"/>
  <c r="Q8" i="6" s="1"/>
  <c r="R8" i="6" s="1"/>
  <c r="Q6" i="6"/>
  <c r="N17" i="6"/>
  <c r="O17" i="6" l="1"/>
  <c r="R6" i="6"/>
  <c r="R10" i="6"/>
  <c r="R17" i="6" s="1"/>
  <c r="Q17" i="6"/>
</calcChain>
</file>

<file path=xl/sharedStrings.xml><?xml version="1.0" encoding="utf-8"?>
<sst xmlns="http://schemas.openxmlformats.org/spreadsheetml/2006/main" count="153" uniqueCount="88">
  <si>
    <t>Cost Rate-</t>
  </si>
  <si>
    <t xml:space="preserve"> Level </t>
  </si>
  <si>
    <t>Regional Rates (NGN)</t>
  </si>
  <si>
    <t xml:space="preserve"> Regional Rates ($) </t>
  </si>
  <si>
    <t>Local Rates (NGN)</t>
  </si>
  <si>
    <t>Base BillableHours</t>
  </si>
  <si>
    <t>Base Non-Billable Hours</t>
  </si>
  <si>
    <t>Total Base Hours</t>
  </si>
  <si>
    <t xml:space="preserve"> Principal </t>
  </si>
  <si>
    <t xml:space="preserve"> Director/PM </t>
  </si>
  <si>
    <t xml:space="preserve"> Senior Consultant </t>
  </si>
  <si>
    <t xml:space="preserve"> Consultant </t>
  </si>
  <si>
    <t xml:space="preserve"> Analyst </t>
  </si>
  <si>
    <t xml:space="preserve"> Associate   </t>
  </si>
  <si>
    <t>Employee Name</t>
  </si>
  <si>
    <t>TYPE</t>
  </si>
  <si>
    <t>Level</t>
  </si>
  <si>
    <t>Regional Type and Currency</t>
  </si>
  <si>
    <t>Contractor Type</t>
  </si>
  <si>
    <t>Base Payment</t>
  </si>
  <si>
    <t>Principal</t>
  </si>
  <si>
    <t>NGN</t>
  </si>
  <si>
    <t>Local</t>
  </si>
  <si>
    <t>Director</t>
  </si>
  <si>
    <t>Senior Consultant</t>
  </si>
  <si>
    <t>Associate Consultant</t>
  </si>
  <si>
    <t>Flexible Contract</t>
  </si>
  <si>
    <t>Advisor</t>
  </si>
  <si>
    <t>USD</t>
  </si>
  <si>
    <t>Regional</t>
  </si>
  <si>
    <t>Consultant</t>
  </si>
  <si>
    <t>Billable Projects</t>
  </si>
  <si>
    <t>Type of Billable</t>
  </si>
  <si>
    <t>Geography Classification</t>
  </si>
  <si>
    <t>2023-2024 WSH Public Data Systems</t>
  </si>
  <si>
    <t>Billable</t>
  </si>
  <si>
    <t>2024 ANNUAL MONITORING &amp; EVALUATION EXERCISE</t>
  </si>
  <si>
    <t>External Monitoring and Evaluation Service for The Hunger Project</t>
  </si>
  <si>
    <t>Geospatial Insights Support Team - GIST- KIMBLE 5.0</t>
  </si>
  <si>
    <t>Nigeria Livestock Productivity and Resilience Support (L-PRES)</t>
  </si>
  <si>
    <t>Geospatial Partner Mapping Tool</t>
  </si>
  <si>
    <t>[BD - 2026] Business Development COP</t>
  </si>
  <si>
    <t>Non-Billable</t>
  </si>
  <si>
    <t>[Comms - 2026] CoP - Communication and Events</t>
  </si>
  <si>
    <t>CoP - Communication and Events</t>
  </si>
  <si>
    <t>Dev-Afrique Internal Admin 2026</t>
  </si>
  <si>
    <t>Policy Vault Project</t>
  </si>
  <si>
    <t>Principal Executive- Internal</t>
  </si>
  <si>
    <t>Principal Executive- Internal Naira</t>
  </si>
  <si>
    <t>AI for Agriculture Learning Series</t>
  </si>
  <si>
    <t>The Umbrella Fund</t>
  </si>
  <si>
    <t>PV Advisors Project</t>
  </si>
  <si>
    <t>Key Metrics</t>
  </si>
  <si>
    <t>Exchange Rate</t>
  </si>
  <si>
    <t>WHT tax rate for local contractor in NGN</t>
  </si>
  <si>
    <t>WHT tax Rate for Regional Contractor in USD</t>
  </si>
  <si>
    <t>Local Billable Hours</t>
  </si>
  <si>
    <t>Global billable hours</t>
  </si>
  <si>
    <t>Income</t>
  </si>
  <si>
    <t>Deductions</t>
  </si>
  <si>
    <t>Local hourly fee</t>
  </si>
  <si>
    <t>Total Local- billable fees</t>
  </si>
  <si>
    <t>Regional billable hours</t>
  </si>
  <si>
    <t>Regional Hourly fee</t>
  </si>
  <si>
    <t>Total Regional- billable fees</t>
  </si>
  <si>
    <t>Basic compensation</t>
  </si>
  <si>
    <t>Gross Compensation</t>
  </si>
  <si>
    <t>Taxes (WHT)</t>
  </si>
  <si>
    <t>HMO Deductions</t>
  </si>
  <si>
    <t>Total Deductions</t>
  </si>
  <si>
    <t>Net Compensation</t>
  </si>
  <si>
    <t>Oanda</t>
  </si>
  <si>
    <t>Staff 1</t>
  </si>
  <si>
    <t>Staff  2</t>
  </si>
  <si>
    <t>Staff 4</t>
  </si>
  <si>
    <t>Staff 5</t>
  </si>
  <si>
    <t>Staff 7</t>
  </si>
  <si>
    <t>Staff 9</t>
  </si>
  <si>
    <t>Associate</t>
  </si>
  <si>
    <t>Staff 23</t>
  </si>
  <si>
    <t>Staff 17</t>
  </si>
  <si>
    <t>Staff 20</t>
  </si>
  <si>
    <t>Staff 16</t>
  </si>
  <si>
    <t>Staff 14</t>
  </si>
  <si>
    <t>Staff 11</t>
  </si>
  <si>
    <t xml:space="preserve"> Associate Consultant</t>
  </si>
  <si>
    <t>Fixed -Base Contract</t>
  </si>
  <si>
    <t>Fixed -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</si>
</sst>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₦-470]* #,##0.00_-;\-[$₦-470]* #,##0.00_-;_-[$₦-470]* &quot;-&quot;??_-;_-@_-"/>
    <numFmt numFmtId="165" formatCode="_([$$-409]* #,##0.00_);_([$$-409]* \(#,##0.00\);_([$$-409]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color rgb="FF333333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u/>
      <sz val="10"/>
      <color rgb="FF000000"/>
      <name val="Aptos Narrow"/>
    </font>
    <font>
      <sz val="11"/>
      <color rgb="FF000000"/>
      <name val="Aptos Narrow"/>
    </font>
    <font>
      <b/>
      <sz val="10"/>
      <color rgb="FF000000"/>
      <name val="Aptos Narrow"/>
    </font>
    <font>
      <b/>
      <sz val="11"/>
      <color theme="1"/>
      <name val="Aptos Narrow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F8E0C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D2E2F0"/>
        <bgColor rgb="FF000000"/>
      </patternFill>
    </fill>
    <fill>
      <patternFill patternType="solid">
        <fgColor rgb="FFDEEBD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/>
  </cellStyleXfs>
  <cellXfs count="123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164" fontId="2" fillId="0" borderId="1" xfId="0" applyNumberFormat="1" applyFont="1" applyBorder="1"/>
    <xf numFmtId="164" fontId="3" fillId="0" borderId="1" xfId="0" applyNumberFormat="1" applyFont="1" applyBorder="1" applyAlignment="1">
      <alignment wrapText="1"/>
    </xf>
    <xf numFmtId="164" fontId="3" fillId="4" borderId="1" xfId="0" applyNumberFormat="1" applyFont="1" applyFill="1" applyBorder="1" applyAlignment="1">
      <alignment wrapText="1"/>
    </xf>
    <xf numFmtId="0" fontId="7" fillId="0" borderId="1" xfId="0" applyFont="1" applyBorder="1"/>
    <xf numFmtId="0" fontId="0" fillId="0" borderId="1" xfId="0" applyBorder="1"/>
    <xf numFmtId="0" fontId="9" fillId="0" borderId="0" xfId="0" applyFont="1"/>
    <xf numFmtId="0" fontId="10" fillId="0" borderId="0" xfId="0" applyFont="1"/>
    <xf numFmtId="0" fontId="11" fillId="6" borderId="1" xfId="0" applyFont="1" applyFill="1" applyBorder="1"/>
    <xf numFmtId="0" fontId="10" fillId="7" borderId="1" xfId="0" applyFont="1" applyFill="1" applyBorder="1"/>
    <xf numFmtId="4" fontId="10" fillId="7" borderId="1" xfId="0" applyNumberFormat="1" applyFont="1" applyFill="1" applyBorder="1"/>
    <xf numFmtId="8" fontId="10" fillId="7" borderId="1" xfId="0" applyNumberFormat="1" applyFont="1" applyFill="1" applyBorder="1"/>
    <xf numFmtId="0" fontId="10" fillId="0" borderId="1" xfId="0" applyFont="1" applyBorder="1"/>
    <xf numFmtId="4" fontId="10" fillId="0" borderId="1" xfId="0" applyNumberFormat="1" applyFont="1" applyBorder="1"/>
    <xf numFmtId="8" fontId="10" fillId="0" borderId="1" xfId="0" applyNumberFormat="1" applyFont="1" applyBorder="1"/>
    <xf numFmtId="0" fontId="2" fillId="0" borderId="1" xfId="0" applyFont="1" applyBorder="1"/>
    <xf numFmtId="0" fontId="2" fillId="4" borderId="1" xfId="0" applyFont="1" applyFill="1" applyBorder="1"/>
    <xf numFmtId="43" fontId="2" fillId="0" borderId="1" xfId="0" applyNumberFormat="1" applyFont="1" applyBorder="1"/>
    <xf numFmtId="0" fontId="3" fillId="4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9" fontId="0" fillId="0" borderId="0" xfId="0" applyNumberFormat="1"/>
    <xf numFmtId="0" fontId="12" fillId="0" borderId="0" xfId="0" applyFont="1"/>
    <xf numFmtId="0" fontId="3" fillId="0" borderId="7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8" borderId="20" xfId="0" applyFont="1" applyFill="1" applyBorder="1" applyAlignment="1">
      <alignment vertical="center"/>
    </xf>
    <xf numFmtId="0" fontId="5" fillId="8" borderId="21" xfId="0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0" fontId="6" fillId="3" borderId="21" xfId="0" applyFont="1" applyFill="1" applyBorder="1" applyAlignment="1">
      <alignment wrapText="1"/>
    </xf>
    <xf numFmtId="0" fontId="6" fillId="3" borderId="22" xfId="0" applyFont="1" applyFill="1" applyBorder="1" applyAlignment="1">
      <alignment wrapText="1"/>
    </xf>
    <xf numFmtId="0" fontId="6" fillId="9" borderId="23" xfId="0" applyFont="1" applyFill="1" applyBorder="1" applyAlignment="1">
      <alignment wrapText="1"/>
    </xf>
    <xf numFmtId="0" fontId="3" fillId="0" borderId="24" xfId="0" applyFont="1" applyBorder="1" applyAlignment="1">
      <alignment wrapText="1"/>
    </xf>
    <xf numFmtId="0" fontId="2" fillId="0" borderId="25" xfId="0" applyFont="1" applyBorder="1"/>
    <xf numFmtId="0" fontId="2" fillId="0" borderId="26" xfId="0" applyFont="1" applyBorder="1"/>
    <xf numFmtId="164" fontId="2" fillId="0" borderId="25" xfId="0" applyNumberFormat="1" applyFont="1" applyBorder="1" applyAlignment="1">
      <alignment horizontal="left"/>
    </xf>
    <xf numFmtId="43" fontId="2" fillId="0" borderId="27" xfId="0" applyNumberFormat="1" applyFont="1" applyBorder="1"/>
    <xf numFmtId="0" fontId="2" fillId="0" borderId="28" xfId="0" applyFont="1" applyBorder="1"/>
    <xf numFmtId="164" fontId="2" fillId="0" borderId="29" xfId="1" applyNumberFormat="1" applyFont="1" applyBorder="1"/>
    <xf numFmtId="4" fontId="2" fillId="0" borderId="30" xfId="0" applyNumberFormat="1" applyFont="1" applyBorder="1"/>
    <xf numFmtId="164" fontId="2" fillId="0" borderId="31" xfId="0" applyNumberFormat="1" applyFont="1" applyBorder="1"/>
    <xf numFmtId="164" fontId="3" fillId="0" borderId="32" xfId="0" applyNumberFormat="1" applyFont="1" applyBorder="1" applyAlignment="1">
      <alignment wrapText="1"/>
    </xf>
    <xf numFmtId="164" fontId="6" fillId="0" borderId="33" xfId="0" applyNumberFormat="1" applyFont="1" applyBorder="1" applyAlignment="1">
      <alignment wrapText="1"/>
    </xf>
    <xf numFmtId="0" fontId="2" fillId="4" borderId="25" xfId="0" applyFont="1" applyFill="1" applyBorder="1"/>
    <xf numFmtId="0" fontId="2" fillId="4" borderId="26" xfId="0" applyFont="1" applyFill="1" applyBorder="1"/>
    <xf numFmtId="164" fontId="2" fillId="4" borderId="25" xfId="0" applyNumberFormat="1" applyFont="1" applyFill="1" applyBorder="1" applyAlignment="1">
      <alignment horizontal="left"/>
    </xf>
    <xf numFmtId="0" fontId="2" fillId="4" borderId="28" xfId="0" applyFont="1" applyFill="1" applyBorder="1"/>
    <xf numFmtId="164" fontId="2" fillId="4" borderId="29" xfId="1" applyNumberFormat="1" applyFont="1" applyFill="1" applyBorder="1"/>
    <xf numFmtId="4" fontId="2" fillId="4" borderId="30" xfId="0" applyNumberFormat="1" applyFont="1" applyFill="1" applyBorder="1"/>
    <xf numFmtId="0" fontId="3" fillId="4" borderId="24" xfId="0" applyFont="1" applyFill="1" applyBorder="1" applyAlignment="1">
      <alignment wrapText="1"/>
    </xf>
    <xf numFmtId="0" fontId="2" fillId="4" borderId="24" xfId="0" applyFont="1" applyFill="1" applyBorder="1"/>
    <xf numFmtId="164" fontId="2" fillId="4" borderId="25" xfId="1" applyNumberFormat="1" applyFont="1" applyFill="1" applyBorder="1"/>
    <xf numFmtId="0" fontId="2" fillId="4" borderId="34" xfId="0" applyFont="1" applyFill="1" applyBorder="1"/>
    <xf numFmtId="0" fontId="2" fillId="4" borderId="35" xfId="0" applyFont="1" applyFill="1" applyBorder="1"/>
    <xf numFmtId="0" fontId="0" fillId="0" borderId="38" xfId="0" applyBorder="1"/>
    <xf numFmtId="0" fontId="13" fillId="11" borderId="0" xfId="0" applyFont="1" applyFill="1" applyAlignment="1">
      <alignment wrapText="1"/>
    </xf>
    <xf numFmtId="4" fontId="13" fillId="11" borderId="0" xfId="0" applyNumberFormat="1" applyFont="1" applyFill="1" applyAlignment="1">
      <alignment wrapText="1"/>
    </xf>
    <xf numFmtId="0" fontId="2" fillId="0" borderId="24" xfId="0" applyFont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44" fontId="5" fillId="10" borderId="1" xfId="1" applyFont="1" applyFill="1" applyBorder="1" applyAlignment="1">
      <alignment wrapText="1"/>
    </xf>
    <xf numFmtId="44" fontId="5" fillId="0" borderId="1" xfId="1" applyFont="1" applyBorder="1" applyAlignment="1">
      <alignment wrapText="1"/>
    </xf>
    <xf numFmtId="165" fontId="14" fillId="5" borderId="1" xfId="0" applyNumberFormat="1" applyFont="1" applyFill="1" applyBorder="1"/>
    <xf numFmtId="165" fontId="15" fillId="5" borderId="1" xfId="2" applyNumberFormat="1" applyFont="1" applyFill="1" applyBorder="1" applyAlignment="1">
      <alignment horizontal="right" vertical="center"/>
    </xf>
    <xf numFmtId="0" fontId="2" fillId="0" borderId="36" xfId="0" applyFont="1" applyBorder="1" applyAlignment="1">
      <alignment wrapText="1"/>
    </xf>
    <xf numFmtId="165" fontId="14" fillId="5" borderId="36" xfId="0" quotePrefix="1" applyNumberFormat="1" applyFont="1" applyFill="1" applyBorder="1" applyAlignment="1">
      <alignment wrapText="1"/>
    </xf>
    <xf numFmtId="165" fontId="2" fillId="0" borderId="36" xfId="0" applyNumberFormat="1" applyFont="1" applyBorder="1" applyAlignment="1">
      <alignment wrapText="1"/>
    </xf>
    <xf numFmtId="165" fontId="14" fillId="5" borderId="36" xfId="0" applyNumberFormat="1" applyFont="1" applyFill="1" applyBorder="1" applyAlignment="1">
      <alignment wrapText="1"/>
    </xf>
    <xf numFmtId="44" fontId="5" fillId="10" borderId="36" xfId="1" applyFont="1" applyFill="1" applyBorder="1" applyAlignment="1">
      <alignment wrapText="1"/>
    </xf>
    <xf numFmtId="44" fontId="5" fillId="0" borderId="36" xfId="1" applyFont="1" applyBorder="1" applyAlignment="1">
      <alignment wrapText="1"/>
    </xf>
    <xf numFmtId="0" fontId="2" fillId="0" borderId="40" xfId="0" applyFont="1" applyBorder="1" applyAlignment="1">
      <alignment wrapText="1"/>
    </xf>
    <xf numFmtId="165" fontId="2" fillId="0" borderId="41" xfId="0" applyNumberFormat="1" applyFont="1" applyBorder="1" applyAlignment="1">
      <alignment wrapText="1"/>
    </xf>
    <xf numFmtId="0" fontId="2" fillId="0" borderId="42" xfId="0" applyFont="1" applyBorder="1" applyAlignment="1">
      <alignment wrapText="1"/>
    </xf>
    <xf numFmtId="165" fontId="2" fillId="0" borderId="43" xfId="0" applyNumberFormat="1" applyFont="1" applyBorder="1" applyAlignment="1">
      <alignment wrapText="1"/>
    </xf>
    <xf numFmtId="165" fontId="2" fillId="5" borderId="44" xfId="1" applyNumberFormat="1" applyFont="1" applyFill="1" applyBorder="1"/>
    <xf numFmtId="165" fontId="2" fillId="5" borderId="45" xfId="0" applyNumberFormat="1" applyFont="1" applyFill="1" applyBorder="1" applyAlignment="1">
      <alignment wrapText="1"/>
    </xf>
    <xf numFmtId="44" fontId="6" fillId="0" borderId="46" xfId="1" applyFont="1" applyBorder="1" applyAlignment="1">
      <alignment wrapText="1"/>
    </xf>
    <xf numFmtId="44" fontId="6" fillId="0" borderId="47" xfId="1" applyFont="1" applyBorder="1" applyAlignment="1">
      <alignment wrapText="1"/>
    </xf>
    <xf numFmtId="165" fontId="5" fillId="0" borderId="40" xfId="0" applyNumberFormat="1" applyFont="1" applyBorder="1" applyAlignment="1">
      <alignment wrapText="1"/>
    </xf>
    <xf numFmtId="44" fontId="3" fillId="0" borderId="41" xfId="1" applyFont="1" applyBorder="1" applyAlignment="1">
      <alignment wrapText="1"/>
    </xf>
    <xf numFmtId="165" fontId="5" fillId="0" borderId="42" xfId="0" applyNumberFormat="1" applyFont="1" applyBorder="1" applyAlignment="1">
      <alignment wrapText="1"/>
    </xf>
    <xf numFmtId="44" fontId="3" fillId="0" borderId="43" xfId="1" applyFont="1" applyBorder="1" applyAlignment="1">
      <alignment wrapText="1"/>
    </xf>
    <xf numFmtId="44" fontId="3" fillId="0" borderId="0" xfId="0" applyNumberFormat="1" applyFont="1" applyAlignment="1">
      <alignment wrapText="1"/>
    </xf>
    <xf numFmtId="165" fontId="3" fillId="0" borderId="0" xfId="0" applyNumberFormat="1" applyFont="1" applyAlignment="1">
      <alignment wrapText="1"/>
    </xf>
    <xf numFmtId="0" fontId="2" fillId="5" borderId="1" xfId="0" applyFont="1" applyFill="1" applyBorder="1"/>
    <xf numFmtId="0" fontId="2" fillId="5" borderId="32" xfId="0" applyFont="1" applyFill="1" applyBorder="1"/>
    <xf numFmtId="0" fontId="2" fillId="5" borderId="37" xfId="0" applyFont="1" applyFill="1" applyBorder="1"/>
    <xf numFmtId="0" fontId="2" fillId="0" borderId="38" xfId="0" applyFont="1" applyBorder="1" applyAlignment="1">
      <alignment wrapText="1"/>
    </xf>
    <xf numFmtId="0" fontId="2" fillId="0" borderId="48" xfId="0" applyFont="1" applyBorder="1" applyAlignment="1">
      <alignment wrapText="1"/>
    </xf>
    <xf numFmtId="165" fontId="14" fillId="0" borderId="38" xfId="0" applyNumberFormat="1" applyFont="1" applyBorder="1"/>
    <xf numFmtId="165" fontId="2" fillId="0" borderId="50" xfId="0" applyNumberFormat="1" applyFont="1" applyBorder="1" applyAlignment="1">
      <alignment wrapText="1"/>
    </xf>
    <xf numFmtId="165" fontId="2" fillId="0" borderId="51" xfId="1" applyNumberFormat="1" applyFont="1" applyBorder="1"/>
    <xf numFmtId="165" fontId="5" fillId="0" borderId="48" xfId="0" applyNumberFormat="1" applyFont="1" applyBorder="1" applyAlignment="1">
      <alignment wrapText="1"/>
    </xf>
    <xf numFmtId="165" fontId="2" fillId="0" borderId="38" xfId="0" applyNumberFormat="1" applyFont="1" applyBorder="1" applyAlignment="1">
      <alignment wrapText="1"/>
    </xf>
    <xf numFmtId="44" fontId="5" fillId="10" borderId="38" xfId="1" applyFont="1" applyFill="1" applyBorder="1" applyAlignment="1">
      <alignment wrapText="1"/>
    </xf>
    <xf numFmtId="44" fontId="5" fillId="0" borderId="38" xfId="1" applyFont="1" applyBorder="1" applyAlignment="1">
      <alignment wrapText="1"/>
    </xf>
    <xf numFmtId="44" fontId="3" fillId="0" borderId="50" xfId="1" applyFont="1" applyBorder="1" applyAlignment="1">
      <alignment wrapText="1"/>
    </xf>
    <xf numFmtId="44" fontId="6" fillId="0" borderId="52" xfId="1" applyFont="1" applyBorder="1" applyAlignment="1">
      <alignment wrapText="1"/>
    </xf>
    <xf numFmtId="0" fontId="5" fillId="0" borderId="21" xfId="0" applyFont="1" applyBorder="1" applyAlignment="1">
      <alignment vertical="center" wrapText="1"/>
    </xf>
    <xf numFmtId="43" fontId="2" fillId="0" borderId="32" xfId="0" applyNumberFormat="1" applyFont="1" applyBorder="1"/>
    <xf numFmtId="0" fontId="2" fillId="0" borderId="49" xfId="0" applyFont="1" applyBorder="1" applyAlignment="1">
      <alignment wrapText="1"/>
    </xf>
    <xf numFmtId="164" fontId="2" fillId="4" borderId="53" xfId="0" applyNumberFormat="1" applyFont="1" applyFill="1" applyBorder="1" applyAlignment="1">
      <alignment horizontal="left"/>
    </xf>
    <xf numFmtId="0" fontId="2" fillId="4" borderId="39" xfId="0" applyFont="1" applyFill="1" applyBorder="1"/>
    <xf numFmtId="0" fontId="0" fillId="12" borderId="0" xfId="0" applyFill="1"/>
    <xf numFmtId="0" fontId="5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6" fillId="0" borderId="5" xfId="0" applyFont="1" applyBorder="1" applyAlignment="1">
      <alignment horizontal="center"/>
    </xf>
    <xf numFmtId="0" fontId="0" fillId="0" borderId="6" xfId="0" applyBorder="1"/>
    <xf numFmtId="0" fontId="6" fillId="0" borderId="8" xfId="0" applyFont="1" applyBorder="1" applyAlignment="1">
      <alignment horizontal="center" wrapText="1"/>
    </xf>
    <xf numFmtId="0" fontId="0" fillId="0" borderId="9" xfId="0" applyBorder="1"/>
    <xf numFmtId="0" fontId="6" fillId="0" borderId="9" xfId="0" applyFont="1" applyBorder="1" applyAlignment="1">
      <alignment horizontal="center" wrapText="1"/>
    </xf>
  </cellXfs>
  <cellStyles count="3">
    <cellStyle name="Currency" xfId="1" builtinId="4"/>
    <cellStyle name="Normal" xfId="0" builtinId="0"/>
    <cellStyle name="Normal 3" xfId="2" xr:uid="{DAAE4E54-F495-4A55-AB2C-041B570BD3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6A5C-A9EB-4918-B933-9F8089E2F371}">
  <dimension ref="A2:G10"/>
  <sheetViews>
    <sheetView workbookViewId="0">
      <selection activeCell="E14" sqref="E14"/>
    </sheetView>
  </sheetViews>
  <sheetFormatPr defaultColWidth="8.6640625" defaultRowHeight="14.4" x14ac:dyDescent="0.3"/>
  <cols>
    <col min="1" max="1" width="23.44140625" customWidth="1"/>
    <col min="2" max="2" width="20.109375" customWidth="1"/>
    <col min="3" max="3" width="18" customWidth="1"/>
    <col min="4" max="4" width="16.5546875" customWidth="1"/>
    <col min="5" max="5" width="21" customWidth="1"/>
    <col min="6" max="6" width="23.5546875" customWidth="1"/>
    <col min="7" max="7" width="16.6640625" customWidth="1"/>
  </cols>
  <sheetData>
    <row r="2" spans="1:7" x14ac:dyDescent="0.3">
      <c r="A2" s="10" t="s">
        <v>0</v>
      </c>
      <c r="B2" s="11"/>
      <c r="C2" s="11"/>
      <c r="D2" s="11"/>
    </row>
    <row r="3" spans="1:7" x14ac:dyDescent="0.3">
      <c r="A3" s="12" t="s">
        <v>1</v>
      </c>
      <c r="B3" s="12" t="s">
        <v>2</v>
      </c>
      <c r="C3" s="12" t="s">
        <v>3</v>
      </c>
      <c r="D3" s="12" t="s">
        <v>4</v>
      </c>
      <c r="E3" s="8" t="s">
        <v>5</v>
      </c>
      <c r="F3" s="8" t="s">
        <v>6</v>
      </c>
      <c r="G3" s="8" t="s">
        <v>7</v>
      </c>
    </row>
    <row r="4" spans="1:7" x14ac:dyDescent="0.3">
      <c r="A4" s="13" t="s">
        <v>8</v>
      </c>
      <c r="B4" s="14">
        <v>60000</v>
      </c>
      <c r="C4" s="15">
        <v>60</v>
      </c>
      <c r="D4" s="14">
        <v>50000</v>
      </c>
      <c r="E4" s="9">
        <v>20</v>
      </c>
      <c r="F4" s="9">
        <v>60</v>
      </c>
      <c r="G4" s="9">
        <f>E4+F4</f>
        <v>80</v>
      </c>
    </row>
    <row r="5" spans="1:7" x14ac:dyDescent="0.3">
      <c r="A5" s="16" t="s">
        <v>9</v>
      </c>
      <c r="B5" s="17">
        <v>50000</v>
      </c>
      <c r="C5" s="18">
        <v>50</v>
      </c>
      <c r="D5" s="17">
        <v>40000</v>
      </c>
      <c r="E5" s="9">
        <v>20</v>
      </c>
      <c r="F5" s="9">
        <v>60</v>
      </c>
      <c r="G5" s="9">
        <f t="shared" ref="G5:G10" si="0">E5+F5</f>
        <v>80</v>
      </c>
    </row>
    <row r="6" spans="1:7" x14ac:dyDescent="0.3">
      <c r="A6" s="13" t="s">
        <v>10</v>
      </c>
      <c r="B6" s="14">
        <v>40000</v>
      </c>
      <c r="C6" s="15">
        <v>40</v>
      </c>
      <c r="D6" s="14">
        <v>30000</v>
      </c>
      <c r="E6" s="9">
        <v>50</v>
      </c>
      <c r="F6" s="9">
        <v>30</v>
      </c>
      <c r="G6" s="9">
        <f t="shared" si="0"/>
        <v>80</v>
      </c>
    </row>
    <row r="7" spans="1:7" x14ac:dyDescent="0.3">
      <c r="A7" s="16" t="s">
        <v>11</v>
      </c>
      <c r="B7" s="17">
        <v>30000</v>
      </c>
      <c r="C7" s="18">
        <v>30</v>
      </c>
      <c r="D7" s="17">
        <v>20000</v>
      </c>
      <c r="E7" s="9">
        <v>60</v>
      </c>
      <c r="F7" s="9">
        <v>20</v>
      </c>
      <c r="G7" s="9">
        <f t="shared" si="0"/>
        <v>80</v>
      </c>
    </row>
    <row r="8" spans="1:7" x14ac:dyDescent="0.3">
      <c r="A8" s="13" t="s">
        <v>85</v>
      </c>
      <c r="B8" s="14">
        <v>20000</v>
      </c>
      <c r="C8" s="15">
        <v>20</v>
      </c>
      <c r="D8" s="14">
        <v>10000</v>
      </c>
      <c r="E8" s="9">
        <v>60</v>
      </c>
      <c r="F8" s="9">
        <v>20</v>
      </c>
      <c r="G8" s="9">
        <f t="shared" si="0"/>
        <v>80</v>
      </c>
    </row>
    <row r="9" spans="1:7" x14ac:dyDescent="0.3">
      <c r="A9" s="16" t="s">
        <v>12</v>
      </c>
      <c r="B9" s="17">
        <v>10000</v>
      </c>
      <c r="C9" s="18">
        <v>10</v>
      </c>
      <c r="D9" s="17">
        <v>50000</v>
      </c>
      <c r="E9" s="9">
        <v>60</v>
      </c>
      <c r="F9" s="9">
        <v>20</v>
      </c>
      <c r="G9" s="9">
        <f t="shared" si="0"/>
        <v>80</v>
      </c>
    </row>
    <row r="10" spans="1:7" x14ac:dyDescent="0.3">
      <c r="A10" s="13" t="s">
        <v>13</v>
      </c>
      <c r="B10" s="14">
        <v>5000</v>
      </c>
      <c r="C10" s="15">
        <v>5</v>
      </c>
      <c r="D10" s="14">
        <v>2500</v>
      </c>
      <c r="E10" s="9">
        <v>60</v>
      </c>
      <c r="F10" s="9">
        <v>20</v>
      </c>
      <c r="G10" s="9">
        <f t="shared" si="0"/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380E-9474-4A25-86A7-0BA1EF01FB0D}">
  <dimension ref="B2:D18"/>
  <sheetViews>
    <sheetView workbookViewId="0">
      <selection activeCell="D20" sqref="D20"/>
    </sheetView>
  </sheetViews>
  <sheetFormatPr defaultColWidth="8.6640625" defaultRowHeight="15" customHeight="1" x14ac:dyDescent="0.3"/>
  <cols>
    <col min="1" max="1" width="5" customWidth="1"/>
    <col min="2" max="4" width="53.6640625" customWidth="1"/>
  </cols>
  <sheetData>
    <row r="2" spans="2:4" ht="14.4" x14ac:dyDescent="0.3">
      <c r="B2" s="8" t="s">
        <v>31</v>
      </c>
      <c r="C2" s="8" t="s">
        <v>32</v>
      </c>
      <c r="D2" s="8" t="s">
        <v>33</v>
      </c>
    </row>
    <row r="3" spans="2:4" ht="14.4" x14ac:dyDescent="0.3">
      <c r="B3" s="9" t="s">
        <v>34</v>
      </c>
      <c r="C3" s="9" t="s">
        <v>35</v>
      </c>
      <c r="D3" s="9" t="s">
        <v>29</v>
      </c>
    </row>
    <row r="4" spans="2:4" ht="14.4" x14ac:dyDescent="0.3">
      <c r="B4" s="9" t="s">
        <v>36</v>
      </c>
      <c r="C4" s="9" t="s">
        <v>35</v>
      </c>
      <c r="D4" s="9" t="s">
        <v>22</v>
      </c>
    </row>
    <row r="5" spans="2:4" ht="14.4" x14ac:dyDescent="0.3">
      <c r="B5" s="9" t="s">
        <v>37</v>
      </c>
      <c r="C5" s="9" t="s">
        <v>35</v>
      </c>
      <c r="D5" s="9" t="s">
        <v>29</v>
      </c>
    </row>
    <row r="6" spans="2:4" ht="14.4" x14ac:dyDescent="0.3">
      <c r="B6" s="9" t="s">
        <v>38</v>
      </c>
      <c r="C6" s="9" t="s">
        <v>35</v>
      </c>
      <c r="D6" s="9" t="s">
        <v>29</v>
      </c>
    </row>
    <row r="7" spans="2:4" ht="14.4" x14ac:dyDescent="0.3">
      <c r="B7" s="9" t="s">
        <v>39</v>
      </c>
      <c r="C7" s="9" t="s">
        <v>35</v>
      </c>
      <c r="D7" s="9" t="s">
        <v>22</v>
      </c>
    </row>
    <row r="8" spans="2:4" ht="14.4" x14ac:dyDescent="0.3">
      <c r="B8" s="9" t="s">
        <v>40</v>
      </c>
      <c r="C8" s="9" t="s">
        <v>35</v>
      </c>
      <c r="D8" s="9" t="s">
        <v>29</v>
      </c>
    </row>
    <row r="9" spans="2:4" ht="14.4" x14ac:dyDescent="0.3">
      <c r="B9" s="9" t="s">
        <v>41</v>
      </c>
      <c r="C9" s="9" t="s">
        <v>42</v>
      </c>
      <c r="D9" s="9" t="s">
        <v>22</v>
      </c>
    </row>
    <row r="10" spans="2:4" ht="14.4" x14ac:dyDescent="0.3">
      <c r="B10" s="9" t="s">
        <v>43</v>
      </c>
      <c r="C10" s="9" t="s">
        <v>42</v>
      </c>
      <c r="D10" s="9" t="s">
        <v>22</v>
      </c>
    </row>
    <row r="11" spans="2:4" ht="14.4" x14ac:dyDescent="0.3">
      <c r="B11" s="9" t="s">
        <v>44</v>
      </c>
      <c r="C11" s="9" t="s">
        <v>42</v>
      </c>
      <c r="D11" s="9" t="s">
        <v>22</v>
      </c>
    </row>
    <row r="12" spans="2:4" ht="15" customHeight="1" x14ac:dyDescent="0.3">
      <c r="B12" s="9" t="s">
        <v>45</v>
      </c>
      <c r="C12" s="9" t="s">
        <v>42</v>
      </c>
      <c r="D12" s="9" t="s">
        <v>22</v>
      </c>
    </row>
    <row r="13" spans="2:4" ht="15" customHeight="1" x14ac:dyDescent="0.3">
      <c r="B13" s="9" t="s">
        <v>46</v>
      </c>
      <c r="C13" s="9" t="s">
        <v>42</v>
      </c>
      <c r="D13" s="9" t="s">
        <v>22</v>
      </c>
    </row>
    <row r="14" spans="2:4" ht="15" customHeight="1" x14ac:dyDescent="0.3">
      <c r="B14" s="9" t="s">
        <v>47</v>
      </c>
      <c r="C14" s="9" t="s">
        <v>42</v>
      </c>
      <c r="D14" s="9" t="s">
        <v>22</v>
      </c>
    </row>
    <row r="15" spans="2:4" ht="15" customHeight="1" x14ac:dyDescent="0.3">
      <c r="B15" s="9" t="s">
        <v>48</v>
      </c>
      <c r="C15" s="9" t="s">
        <v>42</v>
      </c>
      <c r="D15" s="9" t="s">
        <v>22</v>
      </c>
    </row>
    <row r="16" spans="2:4" ht="15" customHeight="1" x14ac:dyDescent="0.3">
      <c r="B16" s="9" t="s">
        <v>49</v>
      </c>
      <c r="C16" s="9" t="s">
        <v>35</v>
      </c>
      <c r="D16" s="9" t="s">
        <v>29</v>
      </c>
    </row>
    <row r="17" spans="2:4" ht="15" customHeight="1" x14ac:dyDescent="0.3">
      <c r="B17" s="9" t="s">
        <v>50</v>
      </c>
      <c r="C17" s="9" t="s">
        <v>35</v>
      </c>
      <c r="D17" s="9" t="s">
        <v>29</v>
      </c>
    </row>
    <row r="18" spans="2:4" ht="15" customHeight="1" x14ac:dyDescent="0.3">
      <c r="B18" s="66" t="s">
        <v>51</v>
      </c>
      <c r="C18" s="9" t="s">
        <v>35</v>
      </c>
      <c r="D18" s="9" t="s">
        <v>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2EBA-B2E3-4449-BB33-DC0F5EFBF67D}">
  <dimension ref="A1:C5"/>
  <sheetViews>
    <sheetView workbookViewId="0">
      <selection activeCell="B5" sqref="B5"/>
    </sheetView>
  </sheetViews>
  <sheetFormatPr defaultColWidth="11.5546875" defaultRowHeight="14.4" x14ac:dyDescent="0.3"/>
  <cols>
    <col min="1" max="1" width="37.44140625" customWidth="1"/>
    <col min="2" max="2" width="19.109375" customWidth="1"/>
  </cols>
  <sheetData>
    <row r="1" spans="1:3" x14ac:dyDescent="0.3">
      <c r="A1" s="25" t="s">
        <v>52</v>
      </c>
    </row>
    <row r="3" spans="1:3" x14ac:dyDescent="0.3">
      <c r="A3" t="s">
        <v>53</v>
      </c>
      <c r="B3">
        <v>1430</v>
      </c>
      <c r="C3" t="s">
        <v>71</v>
      </c>
    </row>
    <row r="4" spans="1:3" x14ac:dyDescent="0.3">
      <c r="A4" t="s">
        <v>54</v>
      </c>
      <c r="B4" s="24">
        <v>0.05</v>
      </c>
    </row>
    <row r="5" spans="1:3" x14ac:dyDescent="0.3">
      <c r="A5" t="s">
        <v>55</v>
      </c>
      <c r="B5" s="24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FCDB-0F12-49A5-A1A6-78784A003464}">
  <dimension ref="A1:AA24"/>
  <sheetViews>
    <sheetView tabSelected="1" workbookViewId="0">
      <selection activeCell="B14" sqref="B14"/>
    </sheetView>
  </sheetViews>
  <sheetFormatPr defaultRowHeight="15" customHeight="1" x14ac:dyDescent="0.3"/>
  <cols>
    <col min="1" max="2" width="22.5546875" customWidth="1"/>
    <col min="3" max="5" width="19.6640625" customWidth="1"/>
    <col min="6" max="6" width="16.33203125" customWidth="1"/>
    <col min="7" max="7" width="14.33203125" customWidth="1"/>
    <col min="8" max="8" width="22.33203125" customWidth="1"/>
    <col min="9" max="9" width="20.44140625" customWidth="1"/>
    <col min="10" max="10" width="12.33203125" customWidth="1"/>
    <col min="11" max="11" width="15.44140625" customWidth="1"/>
    <col min="12" max="12" width="17.6640625" customWidth="1"/>
    <col min="13" max="13" width="18.6640625" customWidth="1"/>
    <col min="14" max="14" width="22.6640625" customWidth="1"/>
    <col min="15" max="15" width="18.6640625" customWidth="1"/>
    <col min="16" max="16" width="14" customWidth="1"/>
    <col min="17" max="17" width="18.5546875" customWidth="1"/>
    <col min="18" max="18" width="23.5546875" customWidth="1"/>
  </cols>
  <sheetData>
    <row r="1" spans="1:27" ht="14.4" x14ac:dyDescent="0.3">
      <c r="A1" s="1"/>
      <c r="B1" s="2"/>
      <c r="C1" s="2"/>
      <c r="D1" s="2"/>
      <c r="E1" s="2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thickBot="1" x14ac:dyDescent="0.35">
      <c r="A2" s="67"/>
      <c r="B2" s="68"/>
      <c r="C2" s="2"/>
      <c r="D2" s="2"/>
      <c r="E2" s="2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6.2" thickBot="1" x14ac:dyDescent="0.35">
      <c r="A3" s="3"/>
      <c r="B3" s="2"/>
      <c r="C3" s="2"/>
      <c r="D3" s="2"/>
      <c r="E3" s="2"/>
      <c r="F3" s="115" t="s">
        <v>56</v>
      </c>
      <c r="G3" s="116"/>
      <c r="H3" s="117"/>
      <c r="I3" s="118" t="s">
        <v>57</v>
      </c>
      <c r="J3" s="116"/>
      <c r="K3" s="119"/>
      <c r="L3" s="26"/>
      <c r="M3" s="120" t="s">
        <v>58</v>
      </c>
      <c r="N3" s="121"/>
      <c r="O3" s="122" t="s">
        <v>59</v>
      </c>
      <c r="P3" s="121"/>
      <c r="Q3" s="121"/>
      <c r="R3" s="27"/>
      <c r="S3" s="2"/>
      <c r="T3" s="2"/>
      <c r="U3" s="2"/>
      <c r="V3" s="2"/>
      <c r="W3" s="2"/>
      <c r="X3" s="2"/>
      <c r="Y3" s="2"/>
      <c r="Z3" s="2"/>
      <c r="AA3" s="2"/>
    </row>
    <row r="4" spans="1:27" ht="29.4" thickBot="1" x14ac:dyDescent="0.35">
      <c r="A4" s="28" t="s">
        <v>14</v>
      </c>
      <c r="B4" s="29" t="s">
        <v>15</v>
      </c>
      <c r="C4" s="30" t="s">
        <v>16</v>
      </c>
      <c r="D4" s="109" t="s">
        <v>17</v>
      </c>
      <c r="E4" s="109" t="s">
        <v>18</v>
      </c>
      <c r="F4" s="31" t="s">
        <v>56</v>
      </c>
      <c r="G4" s="32" t="s">
        <v>60</v>
      </c>
      <c r="H4" s="33" t="s">
        <v>61</v>
      </c>
      <c r="I4" s="34" t="s">
        <v>62</v>
      </c>
      <c r="J4" s="35" t="s">
        <v>63</v>
      </c>
      <c r="K4" s="36" t="s">
        <v>64</v>
      </c>
      <c r="L4" s="37" t="s">
        <v>19</v>
      </c>
      <c r="M4" s="38" t="s">
        <v>65</v>
      </c>
      <c r="N4" s="39" t="s">
        <v>66</v>
      </c>
      <c r="O4" s="40" t="s">
        <v>67</v>
      </c>
      <c r="P4" s="41" t="s">
        <v>68</v>
      </c>
      <c r="Q4" s="42" t="s">
        <v>69</v>
      </c>
      <c r="R4" s="43" t="s">
        <v>70</v>
      </c>
      <c r="S4" s="44"/>
      <c r="T4" s="2"/>
      <c r="U4" s="2"/>
      <c r="V4" s="2"/>
      <c r="W4" s="2"/>
      <c r="X4" s="2"/>
      <c r="Y4" s="2"/>
      <c r="Z4" s="2"/>
      <c r="AA4" s="2"/>
    </row>
    <row r="5" spans="1:27" ht="21" customHeight="1" x14ac:dyDescent="0.3">
      <c r="A5" s="114" t="s">
        <v>79</v>
      </c>
      <c r="B5" s="23" t="s">
        <v>86</v>
      </c>
      <c r="C5" s="45" t="s">
        <v>20</v>
      </c>
      <c r="D5" s="21" t="s">
        <v>21</v>
      </c>
      <c r="E5" s="21" t="s">
        <v>22</v>
      </c>
      <c r="F5" s="46"/>
      <c r="G5" s="47">
        <v>50000</v>
      </c>
      <c r="H5" s="48">
        <f>F5*G5</f>
        <v>0</v>
      </c>
      <c r="I5" s="49"/>
      <c r="J5" s="50">
        <v>60000</v>
      </c>
      <c r="K5" s="48">
        <f>I5*J5</f>
        <v>0</v>
      </c>
      <c r="L5" s="51">
        <v>3000000</v>
      </c>
      <c r="M5" s="52">
        <f>H5+K5+L5</f>
        <v>3000000</v>
      </c>
      <c r="N5" s="5">
        <f>M5</f>
        <v>3000000</v>
      </c>
      <c r="O5" s="5">
        <f t="shared" ref="O5:O9" si="0">0.05*N5</f>
        <v>150000</v>
      </c>
      <c r="P5" s="6">
        <v>160500</v>
      </c>
      <c r="Q5" s="53">
        <f>O5+P5</f>
        <v>310500</v>
      </c>
      <c r="R5" s="54">
        <f>N5-Q5</f>
        <v>2689500</v>
      </c>
      <c r="S5" s="44"/>
      <c r="T5" s="2"/>
      <c r="U5" s="2"/>
      <c r="V5" s="2"/>
      <c r="W5" s="2"/>
      <c r="X5" s="2"/>
      <c r="Y5" s="2"/>
      <c r="Z5" s="2"/>
      <c r="AA5" s="2"/>
    </row>
    <row r="6" spans="1:27" ht="18.600000000000001" customHeight="1" x14ac:dyDescent="0.3">
      <c r="A6" s="114" t="s">
        <v>80</v>
      </c>
      <c r="B6" s="23" t="s">
        <v>86</v>
      </c>
      <c r="C6" s="55" t="s">
        <v>23</v>
      </c>
      <c r="D6" s="21" t="s">
        <v>21</v>
      </c>
      <c r="E6" s="21" t="s">
        <v>22</v>
      </c>
      <c r="F6" s="56"/>
      <c r="G6" s="57">
        <v>40000</v>
      </c>
      <c r="H6" s="48">
        <f t="shared" ref="H6:H9" si="1">F6*G6</f>
        <v>0</v>
      </c>
      <c r="I6" s="58"/>
      <c r="J6" s="59">
        <v>50000</v>
      </c>
      <c r="K6" s="48">
        <f t="shared" ref="K6:K9" si="2">I6*J6</f>
        <v>0</v>
      </c>
      <c r="L6" s="60">
        <v>2000000</v>
      </c>
      <c r="M6" s="52">
        <f t="shared" ref="M6:M9" si="3">H6+K6+L6</f>
        <v>2000000</v>
      </c>
      <c r="N6" s="5">
        <f t="shared" ref="N6:N9" si="4">M6</f>
        <v>2000000</v>
      </c>
      <c r="O6" s="5">
        <f t="shared" si="0"/>
        <v>100000</v>
      </c>
      <c r="P6" s="7">
        <v>0</v>
      </c>
      <c r="Q6" s="53">
        <f t="shared" ref="Q6:Q9" si="5">O6+P6</f>
        <v>100000</v>
      </c>
      <c r="R6" s="54">
        <f t="shared" ref="R6:R9" si="6">N6-Q6</f>
        <v>1900000</v>
      </c>
      <c r="S6" s="61"/>
      <c r="T6" s="4"/>
      <c r="U6" s="4"/>
      <c r="V6" s="4"/>
      <c r="W6" s="4"/>
      <c r="X6" s="4"/>
      <c r="Y6" s="4"/>
      <c r="Z6" s="4"/>
      <c r="AA6" s="4"/>
    </row>
    <row r="7" spans="1:27" ht="15.6" customHeight="1" x14ac:dyDescent="0.3">
      <c r="A7" s="114" t="s">
        <v>75</v>
      </c>
      <c r="B7" s="23" t="s">
        <v>86</v>
      </c>
      <c r="C7" s="55" t="s">
        <v>24</v>
      </c>
      <c r="D7" s="21" t="s">
        <v>21</v>
      </c>
      <c r="E7" s="21" t="s">
        <v>22</v>
      </c>
      <c r="F7" s="56"/>
      <c r="G7" s="57">
        <v>30000</v>
      </c>
      <c r="H7" s="48">
        <f t="shared" si="1"/>
        <v>0</v>
      </c>
      <c r="I7" s="62"/>
      <c r="J7" s="63">
        <v>40000</v>
      </c>
      <c r="K7" s="48">
        <f t="shared" si="2"/>
        <v>0</v>
      </c>
      <c r="L7" s="60">
        <v>1000000</v>
      </c>
      <c r="M7" s="52">
        <f t="shared" si="3"/>
        <v>1000000</v>
      </c>
      <c r="N7" s="5">
        <f t="shared" si="4"/>
        <v>1000000</v>
      </c>
      <c r="O7" s="5">
        <f t="shared" si="0"/>
        <v>50000</v>
      </c>
      <c r="P7" s="7">
        <v>0</v>
      </c>
      <c r="Q7" s="53">
        <f t="shared" si="5"/>
        <v>50000</v>
      </c>
      <c r="R7" s="54">
        <f t="shared" si="6"/>
        <v>950000</v>
      </c>
      <c r="S7" s="61"/>
      <c r="T7" s="4"/>
      <c r="U7" s="4"/>
      <c r="V7" s="4"/>
      <c r="W7" s="4"/>
      <c r="X7" s="4"/>
      <c r="Y7" s="4"/>
      <c r="Z7" s="4"/>
      <c r="AA7" s="4"/>
    </row>
    <row r="8" spans="1:27" ht="14.4" x14ac:dyDescent="0.3">
      <c r="A8" s="114" t="s">
        <v>81</v>
      </c>
      <c r="B8" s="23" t="s">
        <v>86</v>
      </c>
      <c r="C8" s="64" t="s">
        <v>25</v>
      </c>
      <c r="D8" s="21" t="s">
        <v>21</v>
      </c>
      <c r="E8" s="21" t="s">
        <v>22</v>
      </c>
      <c r="F8" s="113"/>
      <c r="G8" s="57">
        <v>10000</v>
      </c>
      <c r="H8" s="48">
        <f t="shared" si="1"/>
        <v>0</v>
      </c>
      <c r="I8" s="62"/>
      <c r="J8" s="63">
        <v>20000</v>
      </c>
      <c r="K8" s="48">
        <f t="shared" si="2"/>
        <v>0</v>
      </c>
      <c r="L8" s="60">
        <v>700000</v>
      </c>
      <c r="M8" s="52">
        <f t="shared" si="3"/>
        <v>700000</v>
      </c>
      <c r="N8" s="5">
        <f t="shared" si="4"/>
        <v>700000</v>
      </c>
      <c r="O8" s="5">
        <f t="shared" si="0"/>
        <v>35000</v>
      </c>
      <c r="P8" s="7">
        <v>66666.67</v>
      </c>
      <c r="Q8" s="53">
        <f t="shared" si="5"/>
        <v>101666.67</v>
      </c>
      <c r="R8" s="54">
        <f t="shared" si="6"/>
        <v>598333.32999999996</v>
      </c>
      <c r="S8" s="61"/>
      <c r="T8" s="4"/>
      <c r="U8" s="4"/>
      <c r="V8" s="4"/>
      <c r="W8" s="4"/>
      <c r="X8" s="4"/>
      <c r="Y8" s="4"/>
      <c r="Z8" s="4"/>
      <c r="AA8" s="4"/>
    </row>
    <row r="9" spans="1:27" ht="14.4" x14ac:dyDescent="0.3">
      <c r="A9" s="114" t="s">
        <v>72</v>
      </c>
      <c r="B9" s="23" t="s">
        <v>86</v>
      </c>
      <c r="C9" s="20" t="s">
        <v>78</v>
      </c>
      <c r="D9" s="21" t="s">
        <v>21</v>
      </c>
      <c r="E9" s="110" t="s">
        <v>22</v>
      </c>
      <c r="F9" s="22"/>
      <c r="G9" s="112">
        <v>2500</v>
      </c>
      <c r="H9" s="48">
        <f t="shared" si="1"/>
        <v>0</v>
      </c>
      <c r="I9" s="65"/>
      <c r="J9" s="63">
        <v>10000</v>
      </c>
      <c r="K9" s="48">
        <f t="shared" si="2"/>
        <v>0</v>
      </c>
      <c r="L9" s="60">
        <v>400000</v>
      </c>
      <c r="M9" s="52">
        <f t="shared" si="3"/>
        <v>400000</v>
      </c>
      <c r="N9" s="5">
        <f t="shared" si="4"/>
        <v>400000</v>
      </c>
      <c r="O9" s="5">
        <f t="shared" si="0"/>
        <v>20000</v>
      </c>
      <c r="P9" s="7">
        <v>32100</v>
      </c>
      <c r="Q9" s="53">
        <f t="shared" si="5"/>
        <v>52100</v>
      </c>
      <c r="R9" s="54">
        <f t="shared" si="6"/>
        <v>347900</v>
      </c>
      <c r="S9" s="61"/>
      <c r="T9" s="4"/>
      <c r="U9" s="4"/>
      <c r="V9" s="4"/>
      <c r="W9" s="4"/>
      <c r="X9" s="4"/>
      <c r="Y9" s="4"/>
      <c r="Z9" s="4"/>
      <c r="AA9" s="4"/>
    </row>
    <row r="10" spans="1:27" ht="14.4" x14ac:dyDescent="0.3">
      <c r="A10" s="114" t="s">
        <v>76</v>
      </c>
      <c r="B10" s="23" t="s">
        <v>86</v>
      </c>
      <c r="C10" s="19" t="s">
        <v>20</v>
      </c>
      <c r="D10" s="98" t="s">
        <v>28</v>
      </c>
      <c r="E10" s="111" t="s">
        <v>29</v>
      </c>
      <c r="F10" s="23"/>
      <c r="G10" s="47">
        <v>50000</v>
      </c>
      <c r="H10" s="101">
        <f>F10*G10</f>
        <v>0</v>
      </c>
      <c r="I10" s="99"/>
      <c r="J10" s="100">
        <v>60</v>
      </c>
      <c r="K10" s="101">
        <f>I10*J10</f>
        <v>0</v>
      </c>
      <c r="L10" s="102">
        <v>3000</v>
      </c>
      <c r="M10" s="103">
        <f>H10+K10+L10</f>
        <v>3000</v>
      </c>
      <c r="N10" s="104">
        <f>M10</f>
        <v>3000</v>
      </c>
      <c r="O10" s="105">
        <f>0.1*N10</f>
        <v>300</v>
      </c>
      <c r="P10" s="106">
        <v>0</v>
      </c>
      <c r="Q10" s="107">
        <f>O10+P10</f>
        <v>300</v>
      </c>
      <c r="R10" s="108">
        <f>N10-Q10</f>
        <v>2700</v>
      </c>
      <c r="S10" s="69"/>
      <c r="T10" s="1"/>
      <c r="U10" s="1"/>
      <c r="V10" s="1"/>
      <c r="W10" s="1"/>
      <c r="X10" s="1"/>
      <c r="Y10" s="1"/>
      <c r="Z10" s="1"/>
      <c r="AA10" s="1"/>
    </row>
    <row r="11" spans="1:27" ht="14.4" x14ac:dyDescent="0.3">
      <c r="A11" s="114" t="s">
        <v>82</v>
      </c>
      <c r="B11" s="23" t="s">
        <v>86</v>
      </c>
      <c r="C11" s="95" t="s">
        <v>23</v>
      </c>
      <c r="D11" s="23" t="s">
        <v>28</v>
      </c>
      <c r="E11" s="23" t="s">
        <v>29</v>
      </c>
      <c r="F11" s="81"/>
      <c r="G11" s="57">
        <v>40000</v>
      </c>
      <c r="H11" s="82">
        <f t="shared" ref="H11:H16" si="7">F11*G11</f>
        <v>0</v>
      </c>
      <c r="I11" s="81"/>
      <c r="J11" s="73">
        <v>50</v>
      </c>
      <c r="K11" s="82">
        <f t="shared" ref="K11:K16" si="8">I11*J11</f>
        <v>0</v>
      </c>
      <c r="L11" s="85">
        <v>1000</v>
      </c>
      <c r="M11" s="89">
        <f t="shared" ref="M11:M16" si="9">H11+K11+L11</f>
        <v>1000</v>
      </c>
      <c r="N11" s="70">
        <f t="shared" ref="N11:N16" si="10">M11</f>
        <v>1000</v>
      </c>
      <c r="O11" s="71">
        <f t="shared" ref="O11:O16" si="11">0.1*N11</f>
        <v>100</v>
      </c>
      <c r="P11" s="72">
        <v>0</v>
      </c>
      <c r="Q11" s="90">
        <f t="shared" ref="Q11:Q16" si="12">O11+P11</f>
        <v>100</v>
      </c>
      <c r="R11" s="87">
        <f t="shared" ref="R11:R16" si="13">N11-Q11</f>
        <v>900</v>
      </c>
      <c r="S11" s="1"/>
      <c r="T11" s="1"/>
      <c r="U11" s="1"/>
      <c r="V11" s="1"/>
      <c r="W11" s="1"/>
      <c r="X11" s="1"/>
      <c r="Y11" s="1"/>
      <c r="Z11" s="1"/>
      <c r="AA11" s="1"/>
    </row>
    <row r="12" spans="1:27" ht="14.4" x14ac:dyDescent="0.3">
      <c r="A12" t="s">
        <v>83</v>
      </c>
      <c r="B12" s="23" t="s">
        <v>86</v>
      </c>
      <c r="C12" s="96" t="s">
        <v>24</v>
      </c>
      <c r="D12" s="23" t="s">
        <v>28</v>
      </c>
      <c r="E12" s="23" t="s">
        <v>29</v>
      </c>
      <c r="F12" s="81"/>
      <c r="G12" s="57">
        <v>30000</v>
      </c>
      <c r="H12" s="82">
        <f t="shared" si="7"/>
        <v>0</v>
      </c>
      <c r="I12" s="81"/>
      <c r="J12" s="73">
        <v>40</v>
      </c>
      <c r="K12" s="82">
        <f t="shared" si="8"/>
        <v>0</v>
      </c>
      <c r="L12" s="85">
        <v>850</v>
      </c>
      <c r="M12" s="89">
        <f t="shared" si="9"/>
        <v>850</v>
      </c>
      <c r="N12" s="70">
        <f t="shared" si="10"/>
        <v>850</v>
      </c>
      <c r="O12" s="71">
        <f t="shared" si="11"/>
        <v>85</v>
      </c>
      <c r="P12" s="72">
        <v>0</v>
      </c>
      <c r="Q12" s="90">
        <f t="shared" si="12"/>
        <v>85</v>
      </c>
      <c r="R12" s="87">
        <f t="shared" si="13"/>
        <v>765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ht="14.4" x14ac:dyDescent="0.3">
      <c r="A13" t="s">
        <v>77</v>
      </c>
      <c r="B13" s="23" t="s">
        <v>86</v>
      </c>
      <c r="C13" s="96" t="s">
        <v>25</v>
      </c>
      <c r="D13" s="23" t="s">
        <v>28</v>
      </c>
      <c r="E13" s="23" t="s">
        <v>29</v>
      </c>
      <c r="F13" s="81"/>
      <c r="G13" s="57">
        <v>10000</v>
      </c>
      <c r="H13" s="82">
        <f t="shared" si="7"/>
        <v>0</v>
      </c>
      <c r="I13" s="81"/>
      <c r="J13" s="73">
        <v>20</v>
      </c>
      <c r="K13" s="82">
        <f t="shared" si="8"/>
        <v>0</v>
      </c>
      <c r="L13" s="85">
        <v>700</v>
      </c>
      <c r="M13" s="89">
        <f t="shared" si="9"/>
        <v>700</v>
      </c>
      <c r="N13" s="70">
        <f t="shared" si="10"/>
        <v>700</v>
      </c>
      <c r="O13" s="71">
        <f t="shared" si="11"/>
        <v>70</v>
      </c>
      <c r="P13" s="72">
        <v>0</v>
      </c>
      <c r="Q13" s="90">
        <f t="shared" si="12"/>
        <v>70</v>
      </c>
      <c r="R13" s="87">
        <f t="shared" si="13"/>
        <v>630</v>
      </c>
      <c r="S13" s="1"/>
      <c r="T13" s="1"/>
      <c r="U13" s="1"/>
      <c r="V13" s="1"/>
      <c r="W13" s="1"/>
      <c r="X13" s="1"/>
      <c r="Y13" s="1"/>
      <c r="Z13" s="1"/>
      <c r="AA13" s="1"/>
    </row>
    <row r="14" spans="1:27" ht="14.4" x14ac:dyDescent="0.3">
      <c r="A14" s="114" t="s">
        <v>73</v>
      </c>
      <c r="B14" s="23" t="s">
        <v>26</v>
      </c>
      <c r="C14" s="96" t="s">
        <v>30</v>
      </c>
      <c r="D14" s="23" t="s">
        <v>28</v>
      </c>
      <c r="E14" s="23" t="s">
        <v>29</v>
      </c>
      <c r="F14" s="81"/>
      <c r="G14" s="73">
        <v>0</v>
      </c>
      <c r="H14" s="82">
        <f t="shared" si="7"/>
        <v>0</v>
      </c>
      <c r="I14" s="81"/>
      <c r="J14" s="73">
        <v>30</v>
      </c>
      <c r="K14" s="82">
        <f t="shared" si="8"/>
        <v>0</v>
      </c>
      <c r="L14" s="85"/>
      <c r="M14" s="89">
        <f t="shared" si="9"/>
        <v>0</v>
      </c>
      <c r="N14" s="70">
        <f t="shared" si="10"/>
        <v>0</v>
      </c>
      <c r="O14" s="71">
        <f t="shared" si="11"/>
        <v>0</v>
      </c>
      <c r="P14" s="72">
        <v>0</v>
      </c>
      <c r="Q14" s="90">
        <f t="shared" si="12"/>
        <v>0</v>
      </c>
      <c r="R14" s="87">
        <f t="shared" si="13"/>
        <v>0</v>
      </c>
      <c r="S14" s="2"/>
      <c r="T14" s="2"/>
      <c r="U14" s="2"/>
      <c r="V14" s="2"/>
      <c r="W14" s="2"/>
      <c r="X14" s="2"/>
      <c r="Y14" s="2"/>
      <c r="Z14" s="2"/>
      <c r="AA14" s="2"/>
    </row>
    <row r="15" spans="1:27" ht="14.4" x14ac:dyDescent="0.3">
      <c r="A15" t="s">
        <v>84</v>
      </c>
      <c r="B15" s="23" t="s">
        <v>26</v>
      </c>
      <c r="C15" s="96" t="s">
        <v>27</v>
      </c>
      <c r="D15" s="23" t="s">
        <v>28</v>
      </c>
      <c r="E15" s="23" t="s">
        <v>29</v>
      </c>
      <c r="F15" s="81"/>
      <c r="G15" s="74">
        <v>0</v>
      </c>
      <c r="H15" s="82">
        <f t="shared" si="7"/>
        <v>0</v>
      </c>
      <c r="I15" s="81"/>
      <c r="J15" s="74">
        <f>270/8</f>
        <v>33.75</v>
      </c>
      <c r="K15" s="82">
        <f t="shared" si="8"/>
        <v>0</v>
      </c>
      <c r="L15" s="85"/>
      <c r="M15" s="89">
        <f t="shared" si="9"/>
        <v>0</v>
      </c>
      <c r="N15" s="70">
        <f t="shared" si="10"/>
        <v>0</v>
      </c>
      <c r="O15" s="71">
        <f t="shared" si="11"/>
        <v>0</v>
      </c>
      <c r="P15" s="72">
        <v>0</v>
      </c>
      <c r="Q15" s="90">
        <f t="shared" si="12"/>
        <v>0</v>
      </c>
      <c r="R15" s="87">
        <f t="shared" si="13"/>
        <v>0</v>
      </c>
      <c r="S15" s="2"/>
      <c r="T15" s="2"/>
      <c r="U15" s="2"/>
      <c r="V15" s="2"/>
      <c r="W15" s="2"/>
      <c r="X15" s="2"/>
      <c r="Y15" s="2"/>
      <c r="Z15" s="2"/>
      <c r="AA15" s="2"/>
    </row>
    <row r="16" spans="1:27" thickBot="1" x14ac:dyDescent="0.35">
      <c r="A16" s="114" t="s">
        <v>74</v>
      </c>
      <c r="B16" s="75" t="s">
        <v>87</v>
      </c>
      <c r="C16" s="97" t="s">
        <v>25</v>
      </c>
      <c r="D16" s="23" t="s">
        <v>28</v>
      </c>
      <c r="E16" s="23" t="s">
        <v>29</v>
      </c>
      <c r="F16" s="83"/>
      <c r="G16" s="76">
        <v>0</v>
      </c>
      <c r="H16" s="84">
        <f t="shared" si="7"/>
        <v>0</v>
      </c>
      <c r="I16" s="83"/>
      <c r="J16" s="78">
        <v>20</v>
      </c>
      <c r="K16" s="84">
        <f t="shared" si="8"/>
        <v>0</v>
      </c>
      <c r="L16" s="86">
        <v>625</v>
      </c>
      <c r="M16" s="91">
        <f t="shared" si="9"/>
        <v>625</v>
      </c>
      <c r="N16" s="77">
        <f t="shared" si="10"/>
        <v>625</v>
      </c>
      <c r="O16" s="79">
        <f t="shared" si="11"/>
        <v>62.5</v>
      </c>
      <c r="P16" s="80">
        <v>0</v>
      </c>
      <c r="Q16" s="92">
        <f t="shared" si="12"/>
        <v>62.5</v>
      </c>
      <c r="R16" s="88">
        <f t="shared" si="13"/>
        <v>562.5</v>
      </c>
      <c r="S16" s="2"/>
      <c r="T16" s="2"/>
      <c r="U16" s="2"/>
      <c r="V16" s="2"/>
      <c r="W16" s="2"/>
      <c r="X16" s="2"/>
      <c r="Y16" s="2"/>
      <c r="Z16" s="2"/>
      <c r="AA16" s="2"/>
    </row>
    <row r="17" spans="1:27" ht="14.4" x14ac:dyDescent="0.3">
      <c r="A17" s="1"/>
      <c r="B17" s="2"/>
      <c r="C17" s="2"/>
      <c r="D17" s="2"/>
      <c r="E17" s="2"/>
      <c r="F17" s="1"/>
      <c r="G17" s="1"/>
      <c r="H17" s="1"/>
      <c r="I17" s="1"/>
      <c r="J17" s="1"/>
      <c r="K17" s="2"/>
      <c r="L17" s="2"/>
      <c r="M17" s="2"/>
      <c r="N17" s="94">
        <f>SUM(N10:N16)</f>
        <v>6175</v>
      </c>
      <c r="O17" s="93">
        <f>SUM(O10:O16)</f>
        <v>617.5</v>
      </c>
      <c r="P17" s="2"/>
      <c r="Q17" s="93">
        <f>SUM(Q10:Q16)</f>
        <v>617.5</v>
      </c>
      <c r="R17" s="93">
        <f>SUM(R10:R16)</f>
        <v>5557.5</v>
      </c>
      <c r="S17" s="2"/>
      <c r="T17" s="2"/>
      <c r="U17" s="2"/>
      <c r="V17" s="2"/>
      <c r="W17" s="2"/>
      <c r="X17" s="2"/>
      <c r="Y17" s="2"/>
      <c r="Z17" s="2"/>
      <c r="AA17" s="2"/>
    </row>
    <row r="18" spans="1:27" ht="14.4" x14ac:dyDescent="0.3">
      <c r="A18" s="1"/>
      <c r="B18" s="2"/>
      <c r="C18" s="2"/>
      <c r="D18" s="2"/>
      <c r="E18" s="2"/>
      <c r="F18" s="1"/>
      <c r="G18" s="1"/>
      <c r="H18" s="1"/>
      <c r="I18" s="1"/>
      <c r="J18" s="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 x14ac:dyDescent="0.3">
      <c r="A19" s="1"/>
      <c r="B19" s="2"/>
      <c r="C19" s="2"/>
      <c r="D19" s="2"/>
      <c r="E19" s="2"/>
      <c r="F19" s="1"/>
      <c r="G19" s="1"/>
      <c r="H19" s="1"/>
      <c r="I19" s="1"/>
      <c r="J19" s="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 x14ac:dyDescent="0.3">
      <c r="A20" s="1"/>
      <c r="B20" s="2"/>
      <c r="C20" s="2"/>
      <c r="D20" s="2"/>
      <c r="E20" s="2"/>
      <c r="F20" s="1"/>
      <c r="G20" s="1"/>
      <c r="H20" s="1"/>
      <c r="I20" s="1"/>
      <c r="J20" s="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4" x14ac:dyDescent="0.3">
      <c r="A21" s="1"/>
      <c r="B21" s="2"/>
      <c r="C21" s="2"/>
      <c r="D21" s="2"/>
      <c r="E21" s="2"/>
      <c r="F21" s="1"/>
      <c r="G21" s="1"/>
      <c r="H21" s="1"/>
      <c r="I21" s="1"/>
      <c r="J21" s="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4" x14ac:dyDescent="0.3">
      <c r="A22" s="1"/>
      <c r="B22" s="2"/>
      <c r="C22" s="2"/>
      <c r="D22" s="2"/>
      <c r="E22" s="2"/>
      <c r="F22" s="1"/>
      <c r="G22" s="1"/>
      <c r="H22" s="1"/>
      <c r="I22" s="1"/>
      <c r="J22" s="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4" x14ac:dyDescent="0.3">
      <c r="A23" s="1"/>
      <c r="B23" s="2"/>
      <c r="C23" s="2"/>
      <c r="D23" s="2"/>
      <c r="E23" s="2"/>
      <c r="F23" s="1"/>
      <c r="G23" s="1"/>
      <c r="H23" s="1"/>
      <c r="I23" s="1"/>
      <c r="J23" s="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4" x14ac:dyDescent="0.3">
      <c r="A24" s="1"/>
      <c r="B24" s="2"/>
      <c r="C24" s="2"/>
      <c r="D24" s="2"/>
      <c r="E24" s="2"/>
      <c r="F24" s="1"/>
      <c r="G24" s="1"/>
      <c r="H24" s="1"/>
      <c r="I24" s="1"/>
      <c r="J24" s="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</sheetData>
  <mergeCells count="4">
    <mergeCell ref="F3:H3"/>
    <mergeCell ref="I3:K3"/>
    <mergeCell ref="M3:N3"/>
    <mergeCell ref="O3:Q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4ce0dc-0377-42d2-8332-709cd1053170">
      <Terms xmlns="http://schemas.microsoft.com/office/infopath/2007/PartnerControls"/>
    </lcf76f155ced4ddcb4097134ff3c332f>
    <TaxCatchAll xmlns="1c02edae-7978-4f65-885b-09559bda20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AECF78A309424CA34353E7AE002609" ma:contentTypeVersion="16" ma:contentTypeDescription="Create a new document." ma:contentTypeScope="" ma:versionID="10af8de24ccb4cdb6e752d5a75c50476">
  <xsd:schema xmlns:xsd="http://www.w3.org/2001/XMLSchema" xmlns:xs="http://www.w3.org/2001/XMLSchema" xmlns:p="http://schemas.microsoft.com/office/2006/metadata/properties" xmlns:ns2="334ce0dc-0377-42d2-8332-709cd1053170" xmlns:ns3="1c02edae-7978-4f65-885b-09559bda20b9" targetNamespace="http://schemas.microsoft.com/office/2006/metadata/properties" ma:root="true" ma:fieldsID="944a29da3d2e527173363998aad074f1" ns2:_="" ns3:_="">
    <xsd:import namespace="334ce0dc-0377-42d2-8332-709cd1053170"/>
    <xsd:import namespace="1c02edae-7978-4f65-885b-09559bda20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ce0dc-0377-42d2-8332-709cd10531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2bfe0b5-6da0-49c3-bfa6-8a9588a0e6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2edae-7978-4f65-885b-09559bda20b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6930287-d7bb-4c82-8559-86cb1bed63e4}" ma:internalName="TaxCatchAll" ma:showField="CatchAllData" ma:web="1c02edae-7978-4f65-885b-09559bda20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076A33-9EB0-4C20-A9CC-303CA4D7426E}">
  <ds:schemaRefs>
    <ds:schemaRef ds:uri="http://schemas.microsoft.com/office/2006/metadata/properties"/>
    <ds:schemaRef ds:uri="http://schemas.microsoft.com/office/infopath/2007/PartnerControls"/>
    <ds:schemaRef ds:uri="334ce0dc-0377-42d2-8332-709cd1053170"/>
    <ds:schemaRef ds:uri="1c02edae-7978-4f65-885b-09559bda20b9"/>
  </ds:schemaRefs>
</ds:datastoreItem>
</file>

<file path=customXml/itemProps2.xml><?xml version="1.0" encoding="utf-8"?>
<ds:datastoreItem xmlns:ds="http://schemas.openxmlformats.org/officeDocument/2006/customXml" ds:itemID="{05E9D543-AC64-4844-929A-B399C1F0BE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4ce0dc-0377-42d2-8332-709cd1053170"/>
    <ds:schemaRef ds:uri="1c02edae-7978-4f65-885b-09559bda20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EFDCC1-FD6E-4C83-AFC9-46D9B54289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 card</vt:lpstr>
      <vt:lpstr>Projects</vt:lpstr>
      <vt:lpstr>Parameters</vt:lpstr>
      <vt:lpstr>Payroll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 Okorie</dc:creator>
  <cp:keywords/>
  <dc:description/>
  <cp:lastModifiedBy>Leonard Okorie</cp:lastModifiedBy>
  <cp:revision/>
  <dcterms:created xsi:type="dcterms:W3CDTF">2026-02-09T14:13:46Z</dcterms:created>
  <dcterms:modified xsi:type="dcterms:W3CDTF">2026-02-23T16:05:17Z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0x010100FBAECF78A309424CA34353E7AE002609</vt:lpwstr>
  </property>
  <property fmtid="{D5CDD505-2E9C-101B-9397-08002B2CF9AE}" pid="3" name="MediaServiceImageTags">
    <vt:lpwstr/>
  </property>
</Properties>
</file>